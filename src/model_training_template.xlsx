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Metrics" sheetId="1" state="visible" r:id="rId1"/>
    <sheet xmlns:r="http://schemas.openxmlformats.org/officeDocument/2006/relationships" name="Confusion Matrix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F3864"/>
      <sz val="13"/>
    </font>
    <font>
      <name val="Arial"/>
      <i val="1"/>
      <color rgb="00595959"/>
      <sz val="10"/>
    </font>
    <font>
      <name val="Arial"/>
      <b val="1"/>
      <color rgb="002E75B6"/>
      <sz val="10"/>
    </font>
    <font>
      <name val="Arial"/>
      <b val="1"/>
      <color rgb="001F3864"/>
      <sz val="11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 vertical="center" textRotation="90"/>
    </xf>
    <xf numFmtId="1" fontId="3" fillId="4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2" fillId="0" borderId="0" pivotButton="0" quotePrefix="0" xfId="0"/>
    <xf numFmtId="165" fontId="3" fillId="4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9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6" customWidth="1" min="16" max="16"/>
    <col width="14" customWidth="1" min="17" max="17"/>
  </cols>
  <sheetData>
    <row r="1" ht="22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</t>
        </is>
      </c>
      <c r="E1" s="1" t="inlineStr">
        <is>
          <t>Class Loss</t>
        </is>
      </c>
      <c r="G1" s="1" t="inlineStr">
        <is>
          <t>DFL Loss</t>
        </is>
      </c>
      <c r="I1" s="1" t="inlineStr">
        <is>
          <t>Precision</t>
        </is>
      </c>
      <c r="K1" s="1" t="inlineStr">
        <is>
          <t>Recall</t>
        </is>
      </c>
      <c r="M1" s="1" t="inlineStr">
        <is>
          <t>F1 Score</t>
        </is>
      </c>
      <c r="O1" s="1" t="inlineStr">
        <is>
          <t>mAP</t>
        </is>
      </c>
      <c r="Q1" s="1" t="inlineStr">
        <is>
          <t>Accuracy (val)</t>
        </is>
      </c>
    </row>
    <row r="2" ht="18" customHeight="1">
      <c r="A2" s="2" t="n"/>
      <c r="B2" s="2" t="n"/>
      <c r="C2" s="3" t="inlineStr">
        <is>
          <t>Train</t>
        </is>
      </c>
      <c r="D2" s="3" t="inlineStr">
        <is>
          <t>Val</t>
        </is>
      </c>
      <c r="E2" s="3" t="inlineStr">
        <is>
          <t>Train</t>
        </is>
      </c>
      <c r="F2" s="3" t="inlineStr">
        <is>
          <t>Val</t>
        </is>
      </c>
      <c r="G2" s="3" t="inlineStr">
        <is>
          <t>Train</t>
        </is>
      </c>
      <c r="H2" s="3" t="inlineStr">
        <is>
          <t>Val</t>
        </is>
      </c>
      <c r="I2" s="3" t="inlineStr">
        <is>
          <t>Val</t>
        </is>
      </c>
      <c r="J2" s="3" t="inlineStr">
        <is>
          <t>Train*</t>
        </is>
      </c>
      <c r="K2" s="3" t="inlineStr">
        <is>
          <t>Val</t>
        </is>
      </c>
      <c r="L2" s="3" t="inlineStr">
        <is>
          <t>Train*</t>
        </is>
      </c>
      <c r="M2" s="3" t="inlineStr">
        <is>
          <t>Val</t>
        </is>
      </c>
      <c r="N2" s="3" t="inlineStr">
        <is>
          <t>Train*</t>
        </is>
      </c>
      <c r="O2" s="3" t="inlineStr">
        <is>
          <t>mAP@0.5</t>
        </is>
      </c>
      <c r="P2" s="3" t="inlineStr">
        <is>
          <t>mAP@0.5:0.95</t>
        </is>
      </c>
      <c r="Q2" s="2" t="n"/>
    </row>
    <row r="3">
      <c r="A3" s="4" t="n">
        <v>0</v>
      </c>
      <c r="B3" s="5" t="n">
        <v>0.01</v>
      </c>
      <c r="C3" s="5" t="n">
        <v>1.8</v>
      </c>
      <c r="D3" s="5" t="n">
        <v>1.85</v>
      </c>
      <c r="E3" s="5" t="n">
        <v>3.4</v>
      </c>
      <c r="F3" s="5" t="n">
        <v>3.3</v>
      </c>
      <c r="G3" s="5" t="n">
        <v>1.45</v>
      </c>
      <c r="H3" s="5" t="n">
        <v>1.48</v>
      </c>
      <c r="I3" s="5" t="n">
        <v>0.64</v>
      </c>
      <c r="J3" s="5" t="inlineStr"/>
      <c r="K3" s="5" t="n">
        <v>0.68</v>
      </c>
      <c r="L3" s="5" t="inlineStr"/>
      <c r="M3" s="5">
        <f>IF((I3+K3)=0,0,2*I3*K3/(I3+K3))</f>
        <v/>
      </c>
      <c r="N3" s="5" t="inlineStr"/>
      <c r="O3" s="5" t="n">
        <v>0.28</v>
      </c>
      <c r="P3" s="5" t="n">
        <v>0.1</v>
      </c>
      <c r="Q3" s="5" t="inlineStr"/>
    </row>
    <row r="4">
      <c r="A4" s="6" t="n">
        <v>1</v>
      </c>
      <c r="B4" s="7" t="n">
        <v>0.01</v>
      </c>
      <c r="C4" s="7" t="n">
        <v>1.8</v>
      </c>
      <c r="D4" s="7" t="n">
        <v>1.85</v>
      </c>
      <c r="E4" s="7" t="n">
        <v>3.4</v>
      </c>
      <c r="F4" s="7" t="n">
        <v>3.3</v>
      </c>
      <c r="G4" s="7" t="n">
        <v>1.45</v>
      </c>
      <c r="H4" s="7" t="n">
        <v>1.48</v>
      </c>
      <c r="I4" s="7" t="n">
        <v>0.64</v>
      </c>
      <c r="J4" s="7" t="inlineStr"/>
      <c r="K4" s="7" t="n">
        <v>0.68</v>
      </c>
      <c r="L4" s="7" t="inlineStr"/>
      <c r="M4" s="7">
        <f>IF((I4+K4)=0,0,2*I4*K4/(I4+K4))</f>
        <v/>
      </c>
      <c r="N4" s="7" t="inlineStr"/>
      <c r="O4" s="7" t="n">
        <v>0.28</v>
      </c>
      <c r="P4" s="7" t="n">
        <v>0.1</v>
      </c>
      <c r="Q4" s="7" t="inlineStr"/>
    </row>
    <row r="5">
      <c r="A5" s="4" t="n">
        <v>2</v>
      </c>
      <c r="B5" s="5" t="n">
        <v>0.01</v>
      </c>
      <c r="C5" s="5" t="n">
        <v>1.8</v>
      </c>
      <c r="D5" s="5" t="n">
        <v>1.85</v>
      </c>
      <c r="E5" s="5" t="n">
        <v>3.4</v>
      </c>
      <c r="F5" s="5" t="n">
        <v>3.3</v>
      </c>
      <c r="G5" s="5" t="n">
        <v>1.45</v>
      </c>
      <c r="H5" s="5" t="n">
        <v>1.48</v>
      </c>
      <c r="I5" s="5" t="n">
        <v>0.64</v>
      </c>
      <c r="J5" s="5" t="inlineStr"/>
      <c r="K5" s="5" t="n">
        <v>0.68</v>
      </c>
      <c r="L5" s="5" t="inlineStr"/>
      <c r="M5" s="5">
        <f>IF((I5+K5)=0,0,2*I5*K5/(I5+K5))</f>
        <v/>
      </c>
      <c r="N5" s="5" t="inlineStr"/>
      <c r="O5" s="5" t="n">
        <v>0.28</v>
      </c>
      <c r="P5" s="5" t="n">
        <v>0.1</v>
      </c>
      <c r="Q5" s="5" t="inlineStr"/>
    </row>
    <row r="6">
      <c r="A6" s="6" t="n">
        <v>3</v>
      </c>
      <c r="B6" s="7" t="n">
        <v>0.01</v>
      </c>
      <c r="C6" s="7" t="n">
        <v>1.8</v>
      </c>
      <c r="D6" s="7" t="n">
        <v>1.85</v>
      </c>
      <c r="E6" s="7" t="n">
        <v>3.4</v>
      </c>
      <c r="F6" s="7" t="n">
        <v>3.3</v>
      </c>
      <c r="G6" s="7" t="n">
        <v>1.45</v>
      </c>
      <c r="H6" s="7" t="n">
        <v>1.48</v>
      </c>
      <c r="I6" s="7" t="n">
        <v>0.64</v>
      </c>
      <c r="J6" s="7" t="inlineStr"/>
      <c r="K6" s="7" t="n">
        <v>0.68</v>
      </c>
      <c r="L6" s="7" t="inlineStr"/>
      <c r="M6" s="7">
        <f>IF((I6+K6)=0,0,2*I6*K6/(I6+K6))</f>
        <v/>
      </c>
      <c r="N6" s="7" t="inlineStr"/>
      <c r="O6" s="7" t="n">
        <v>0.28</v>
      </c>
      <c r="P6" s="7" t="n">
        <v>0.1</v>
      </c>
      <c r="Q6" s="7" t="inlineStr"/>
    </row>
    <row r="7">
      <c r="A7" s="4" t="n">
        <v>4</v>
      </c>
      <c r="B7" s="5" t="n">
        <v>0.01</v>
      </c>
      <c r="C7" s="5" t="n">
        <v>1.8</v>
      </c>
      <c r="D7" s="5" t="n">
        <v>1.85</v>
      </c>
      <c r="E7" s="5" t="n">
        <v>3.4</v>
      </c>
      <c r="F7" s="5" t="n">
        <v>3.3</v>
      </c>
      <c r="G7" s="5" t="n">
        <v>1.45</v>
      </c>
      <c r="H7" s="5" t="n">
        <v>1.48</v>
      </c>
      <c r="I7" s="5" t="n">
        <v>0.64</v>
      </c>
      <c r="J7" s="5" t="inlineStr"/>
      <c r="K7" s="5" t="n">
        <v>0.68</v>
      </c>
      <c r="L7" s="5" t="inlineStr"/>
      <c r="M7" s="5">
        <f>IF((I7+K7)=0,0,2*I7*K7/(I7+K7))</f>
        <v/>
      </c>
      <c r="N7" s="5" t="inlineStr"/>
      <c r="O7" s="5" t="n">
        <v>0.28</v>
      </c>
      <c r="P7" s="5" t="n">
        <v>0.1</v>
      </c>
      <c r="Q7" s="5" t="inlineStr"/>
    </row>
    <row r="9">
      <c r="A9" s="8" t="inlineStr">
        <is>
          <t>* Train Precision/Recall/F1: YOLO varsayılan olarak sadece val setinde raporlar. Modeliniz train değeri üretiyorsa doldurunuz.</t>
        </is>
      </c>
    </row>
  </sheetData>
  <mergeCells count="10">
    <mergeCell ref="C1:D1"/>
    <mergeCell ref="G1:H1"/>
    <mergeCell ref="E1:F1"/>
    <mergeCell ref="K1:L1"/>
    <mergeCell ref="Q1:Q2"/>
    <mergeCell ref="O1:P1"/>
    <mergeCell ref="B1:B2"/>
    <mergeCell ref="M1:N1"/>
    <mergeCell ref="I1:J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1" workbookViewId="0">
      <selection activeCell="A1" sqref="A1"/>
    </sheetView>
  </sheetViews>
  <sheetFormatPr baseColWidth="8" defaultRowHeight="15"/>
  <cols>
    <col width="4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2">
      <c r="B2" s="9" t="inlineStr">
        <is>
          <t>Confusion Matrix — Model Adı</t>
        </is>
      </c>
    </row>
    <row r="4">
      <c r="B4" s="10" t="inlineStr">
        <is>
          <t>Bu sheet eğitim tamamlandıktan sonra doldurulur.</t>
        </is>
      </c>
    </row>
    <row r="5">
      <c r="B5" s="10" t="inlineStr">
        <is>
          <t>Her hücre: satır=Gerçek Sınıf, sütun=Tahmin Edilen Sınıf</t>
        </is>
      </c>
    </row>
    <row r="7">
      <c r="C7" s="11" t="inlineStr">
        <is>
          <t>Predicted →</t>
        </is>
      </c>
      <c r="D7" s="3" t="inlineStr">
        <is>
          <t>Class_0</t>
        </is>
      </c>
      <c r="E7" s="3" t="inlineStr">
        <is>
          <t>Class_1</t>
        </is>
      </c>
      <c r="F7" s="3" t="inlineStr">
        <is>
          <t>Class_2</t>
        </is>
      </c>
    </row>
    <row r="8" ht="20" customHeight="1">
      <c r="B8" s="12" t="inlineStr">
        <is>
          <t>Actual ↓</t>
        </is>
      </c>
      <c r="C8" s="3" t="inlineStr">
        <is>
          <t>Class_0</t>
        </is>
      </c>
      <c r="D8" s="13" t="n">
        <v>0</v>
      </c>
      <c r="E8" s="14" t="n">
        <v>0</v>
      </c>
      <c r="F8" s="14" t="n">
        <v>0</v>
      </c>
    </row>
    <row r="9" ht="20" customHeight="1">
      <c r="C9" s="3" t="inlineStr">
        <is>
          <t>Class_1</t>
        </is>
      </c>
      <c r="D9" s="14" t="n">
        <v>0</v>
      </c>
      <c r="E9" s="13" t="n">
        <v>0</v>
      </c>
      <c r="F9" s="14" t="n">
        <v>0</v>
      </c>
    </row>
    <row r="10" ht="20" customHeight="1">
      <c r="C10" s="3" t="inlineStr">
        <is>
          <t>Class_2</t>
        </is>
      </c>
      <c r="D10" s="14" t="n">
        <v>0</v>
      </c>
      <c r="E10" s="14" t="n">
        <v>0</v>
      </c>
      <c r="F10" s="13" t="n">
        <v>0</v>
      </c>
    </row>
    <row r="13">
      <c r="C13" s="15" t="inlineStr">
        <is>
          <t>Normalized Confusion Matrix (%)</t>
        </is>
      </c>
    </row>
    <row r="14">
      <c r="C14" s="16" t="inlineStr">
        <is>
          <t>Actual ↓</t>
        </is>
      </c>
      <c r="D14" s="3" t="inlineStr">
        <is>
          <t>Class_0</t>
        </is>
      </c>
      <c r="E14" s="3" t="inlineStr">
        <is>
          <t>Class_1</t>
        </is>
      </c>
      <c r="F14" s="3" t="inlineStr">
        <is>
          <t>Class_2</t>
        </is>
      </c>
    </row>
    <row r="15">
      <c r="C15" s="3" t="inlineStr">
        <is>
          <t>Class_0</t>
        </is>
      </c>
      <c r="D15" s="17">
        <f>IF((D8+E8+F8)=0,0,D8/(D8+E8+F8))</f>
        <v/>
      </c>
      <c r="E15" s="18">
        <f>IF((D8+E8+F8)=0,0,E8/(D8+E8+F8))</f>
        <v/>
      </c>
      <c r="F15" s="18">
        <f>IF((D8+E8+F8)=0,0,F8/(D8+E8+F8))</f>
        <v/>
      </c>
    </row>
    <row r="16">
      <c r="C16" s="3" t="inlineStr">
        <is>
          <t>Class_1</t>
        </is>
      </c>
      <c r="D16" s="18">
        <f>IF((D9+E9+F9)=0,0,D9/(D9+E9+F9))</f>
        <v/>
      </c>
      <c r="E16" s="17">
        <f>IF((D9+E9+F9)=0,0,E9/(D9+E9+F9))</f>
        <v/>
      </c>
      <c r="F16" s="18">
        <f>IF((D9+E9+F9)=0,0,F9/(D9+E9+F9))</f>
        <v/>
      </c>
    </row>
    <row r="17">
      <c r="C17" s="3" t="inlineStr">
        <is>
          <t>Class_2</t>
        </is>
      </c>
      <c r="D17" s="18">
        <f>IF((D10+E10+F10)=0,0,D10/(D10+E10+F10))</f>
        <v/>
      </c>
      <c r="E17" s="18">
        <f>IF((D10+E10+F10)=0,0,E10/(D10+E10+F10))</f>
        <v/>
      </c>
      <c r="F17" s="17">
        <f>IF((D10+E10+F10)=0,0,F10/(D10+E10+F10))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0" t="inlineStr">
        <is>
          <t>Grafikler bu sheet'e eklenecektir.</t>
        </is>
      </c>
    </row>
    <row r="3">
      <c r="B3" s="10" t="inlineStr">
        <is>
          <t>Excel'de Insert → Chart ile Training Metrics sheet'indeki verileri kullanabilirsiniz.</t>
        </is>
      </c>
    </row>
    <row r="4">
      <c r="B4" s="19" t="inlineStr">
        <is>
          <t>Grafik Listesi (Training Metrics sütun referansları):</t>
        </is>
      </c>
    </row>
    <row r="5">
      <c r="B5" s="20" t="inlineStr">
        <is>
          <t>• Box Loss (Train vs Val)  →  Epoch (A) vs C:D</t>
        </is>
      </c>
    </row>
    <row r="6">
      <c r="B6" s="20" t="inlineStr">
        <is>
          <t>• Class Loss (Train vs Val)  →  Epoch (A) vs E:F</t>
        </is>
      </c>
    </row>
    <row r="7">
      <c r="B7" s="20" t="inlineStr">
        <is>
          <t>• DFL Loss (Train vs Val)  →  Epoch (A) vs G:H</t>
        </is>
      </c>
    </row>
    <row r="8">
      <c r="B8" s="20" t="inlineStr">
        <is>
          <t>• Precision (Val)  →  Epoch (A) vs I</t>
        </is>
      </c>
    </row>
    <row r="9">
      <c r="B9" s="20" t="inlineStr">
        <is>
          <t>• Recall (Val)  →  Epoch (A) vs K</t>
        </is>
      </c>
    </row>
    <row r="10">
      <c r="B10" s="20" t="inlineStr">
        <is>
          <t>• F1 Score (Val)  →  Epoch (A) vs M</t>
        </is>
      </c>
    </row>
    <row r="11">
      <c r="B11" s="20" t="inlineStr">
        <is>
          <t>• mAP@0.5 &amp; mAP@0.5:0.95  →  Epoch (A) vs O:P</t>
        </is>
      </c>
    </row>
    <row r="12">
      <c r="B12" s="20" t="inlineStr">
        <is>
          <t>• Accuracy (Val)  →  Epoch (A) vs Q</t>
        </is>
      </c>
    </row>
    <row r="13">
      <c r="B13" s="20" t="inlineStr">
        <is>
          <t>• Learning Rate  →  Epoch (A) vs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2026-04-11T09:36:58Z</dcterms:created>
  <dcterms:modified xmlns:dcterms="http://purl.org/dc/terms/" xmlns:xsi="http://www.w3.org/2001/XMLSchema-instance" xsi:type="dcterms:W3CDTF">2026-04-11T09:36:58Z</dcterms:modified>
</cp:coreProperties>
</file>